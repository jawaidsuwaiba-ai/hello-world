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60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BQ\Downloads\"/>
    </mc:Choice>
  </mc:AlternateContent>
  <bookViews>
    <workbookView xWindow="240" yWindow="105" windowWidth="14805" windowHeight="8010" firstSheet="4" activeTab="5"/>
  </bookViews>
  <sheets>
    <sheet name="leads" sheetId="1" r:id="rId1"/>
    <sheet name="lead source" sheetId="3" r:id="rId2"/>
    <sheet name="oppurtunities" sheetId="2" r:id="rId3"/>
    <sheet name="oppurtunities won" sheetId="4" r:id="rId4"/>
    <sheet name="revenue contribution" sheetId="5" r:id="rId5"/>
    <sheet name="visual" sheetId="6" r:id="rId6"/>
  </sheets>
  <calcPr calcId="191028"/>
  <pivotCaches>
    <pivotCache cacheId="0" r:id="rId7"/>
    <pivotCache cacheId="1" r:id="rId8"/>
    <pivotCache cacheId="2" r:id="rId9"/>
  </pivotCaches>
</workbook>
</file>

<file path=xl/calcChain.xml><?xml version="1.0" encoding="utf-8"?>
<calcChain xmlns="http://schemas.openxmlformats.org/spreadsheetml/2006/main">
  <c i="5" l="1" r="E8"/>
  <c r="E7"/>
  <c r="E6"/>
  <c r="E5"/>
  <c i="2" r="I3"/>
  <c r="I4"/>
  <c r="I5"/>
  <c r="I6"/>
  <c r="I7"/>
  <c r="I8"/>
  <c r="I9"/>
  <c r="I10"/>
  <c r="I11"/>
  <c r="I12"/>
  <c r="I13"/>
  <c r="I14"/>
  <c r="I15"/>
  <c r="I16"/>
  <c r="I2"/>
  <c r="H3"/>
  <c r="H4"/>
  <c r="H5"/>
  <c r="H6"/>
  <c r="H7"/>
  <c r="H8"/>
  <c r="H9"/>
  <c r="H10"/>
  <c r="H11"/>
  <c r="H12"/>
  <c r="H13"/>
  <c r="H14"/>
  <c r="H15"/>
  <c r="H16"/>
  <c r="H2"/>
  <c r="G16"/>
  <c r="G3"/>
  <c r="G4"/>
  <c r="G5"/>
  <c r="G6"/>
  <c r="G7"/>
  <c r="G8"/>
  <c r="G9"/>
  <c r="G10"/>
  <c r="G11"/>
  <c r="G12"/>
  <c r="G13"/>
  <c r="G14"/>
  <c r="G15"/>
  <c r="G2"/>
</calcChain>
</file>

<file path=xl/sharedStrings.xml><?xml version="1.0" encoding="utf-8"?>
<sst xmlns="http://schemas.openxmlformats.org/spreadsheetml/2006/main">
  <si>
    <t>lead_id</t>
  </si>
  <si>
    <t>lead_date</t>
  </si>
  <si>
    <t>industry</t>
  </si>
  <si>
    <t>company_size</t>
  </si>
  <si>
    <t>country</t>
  </si>
  <si>
    <t>lead_source</t>
  </si>
  <si>
    <t>L001</t>
  </si>
  <si>
    <t>Commercial Real Estate</t>
  </si>
  <si>
    <t>Enterprise</t>
  </si>
  <si>
    <t>UK</t>
  </si>
  <si>
    <t>Website</t>
  </si>
  <si>
    <t>L002</t>
  </si>
  <si>
    <t>Healthcare</t>
  </si>
  <si>
    <t>Germany</t>
  </si>
  <si>
    <t>Event</t>
  </si>
  <si>
    <t>L003</t>
  </si>
  <si>
    <t>Education</t>
  </si>
  <si>
    <t>Mid-Market</t>
  </si>
  <si>
    <t>Referral</t>
  </si>
  <si>
    <t>L004</t>
  </si>
  <si>
    <t>Airports &amp; Transport</t>
  </si>
  <si>
    <t>France</t>
  </si>
  <si>
    <t>Paid Ads</t>
  </si>
  <si>
    <t>L005</t>
  </si>
  <si>
    <t>SMB</t>
  </si>
  <si>
    <t>Spain</t>
  </si>
  <si>
    <t>L006</t>
  </si>
  <si>
    <t>Netherlands</t>
  </si>
  <si>
    <t>L007</t>
  </si>
  <si>
    <t>Corporate Offices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</si>
  <si>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</si>
  <si>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</si>
  <si>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</si>
  <si>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</si>
  <si>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</si>
  <si>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</si>
  <si>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</si>
  <si>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</si>
  <si>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</si>
  <si>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</si>
  <si>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</si>
  <si>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</si>
  <si>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</si>
  <si>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(All)</t>
  </si>
  <si>
    <t>Count of lead_id</t>
  </si>
  <si>
    <t>KEY OBSERVATION</t>
  </si>
  <si>
    <t>Grand Total</t>
  </si>
  <si>
    <r>
      <rPr>
        <rFont val="Aptos Narrow"/>
        <color rgb="FF000000"/>
      </rPr>
      <t xml:space="preserve">1. </t>
    </r>
    <r>
      <rPr>
        <rFont val="Aptos Narrow"/>
        <b val="1"/>
        <color rgb="FF000000"/>
      </rPr>
      <t>Website</t>
    </r>
    <r>
      <rPr>
        <rFont val="Aptos Narrow"/>
        <color rgb="FF000000"/>
      </rPr>
      <t xml:space="preserve"> generates the highest volume of SMB and Mid-Market leads.</t>
    </r>
  </si>
  <si>
    <r>
      <rPr>
        <rFont val="Aptos Narrow"/>
        <color rgb="FF000000"/>
      </rPr>
      <t xml:space="preserve">2. </t>
    </r>
    <r>
      <rPr>
        <rFont val="Aptos Narrow"/>
        <b val="1"/>
        <color rgb="FF000000"/>
      </rPr>
      <t>Events</t>
    </r>
    <r>
      <rPr>
        <rFont val="Aptos Narrow"/>
        <color rgb="FF000000"/>
      </rPr>
      <t xml:space="preserve"> are the strongest channel for Enterprise lead acquisition.</t>
    </r>
  </si>
  <si>
    <r>
      <rPr>
        <rFont val="Aptos Narrow"/>
        <color rgb="FF000000"/>
      </rPr>
      <t xml:space="preserve">3. </t>
    </r>
    <r>
      <rPr>
        <rFont val="Aptos Narrow"/>
        <b val="1"/>
        <color rgb="FF000000"/>
      </rPr>
      <t>Referrals</t>
    </r>
    <r>
      <rPr>
        <rFont val="Aptos Narrow"/>
        <color rgb="FF000000"/>
      </rPr>
      <t xml:space="preserve"> skew toward Enterprise leads compared to SMB and Mid-Market.</t>
    </r>
  </si>
  <si>
    <r>
      <rPr>
        <rFont val="Aptos Narrow"/>
        <color rgb="FF000000"/>
      </rPr>
      <t xml:space="preserve">4. </t>
    </r>
    <r>
      <rPr>
        <rFont val="Aptos Narrow"/>
        <b val="1"/>
        <color rgb="FF000000"/>
      </rPr>
      <t>Paid Ads</t>
    </r>
    <r>
      <rPr>
        <rFont val="Aptos Narrow"/>
        <color rgb="FF000000"/>
      </rPr>
      <t xml:space="preserve"> contribute to lead volume but underperform for Mid-Market acquisition.</t>
    </r>
  </si>
  <si>
    <t>opportunity_id</t>
  </si>
  <si>
    <t>opportunity_stage</t>
  </si>
  <si>
    <t>deal_value</t>
  </si>
  <si>
    <t>created_date</t>
  </si>
  <si>
    <t>close_date</t>
  </si>
  <si>
    <t>O001</t>
  </si>
  <si>
    <t>Won</t>
  </si>
  <si>
    <t>O002</t>
  </si>
  <si>
    <t>O003</t>
  </si>
  <si>
    <t>Lost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</si>
  <si>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</si>
  <si>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</si>
  <si>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</si>
  <si>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</si>
  <si>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</si>
  <si>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</si>
  <si>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</si>
  <si>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</si>
  <si>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</si>
  <si>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</si>
  <si>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</si>
  <si>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</si>
  <si>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Sum of deal_value</t>
  </si>
  <si>
    <t>1.The revenue analysis was filtered to closed-won opportunities to ensure only realised revenue was considered.</t>
  </si>
  <si>
    <t xml:space="preserve">2. Events are the highest-quality acquisition channel. </t>
  </si>
  <si>
    <t>percentage of total revenue</t>
  </si>
  <si>
    <t>1. Paid Ads and Referrals contribute moderately to Enterprise revenue, around 25% each.</t>
  </si>
  <si>
    <t>2. Events generate the highest closed-won revenue, contributing 1.15M out of 2.59M, concentrated in Enterprise accounts.</t>
  </si>
  <si>
    <t>3.Website leads produce minimal Enterprise revenue, indicating it is less effective for high-value accounts</t>
  </si>
  <si>
    <t>Observation</t>
  </si>
  <si>
    <t>Recommendation</t>
  </si>
  <si>
    <t>Events dominate Enterprise revenue</t>
  </si>
  <si>
    <t>Focus Enterprise marketing on events; consider increasing event frequency or premium packages</t>
  </si>
  <si>
    <t>Website drives SMB revenue</t>
  </si>
  <si>
    <t>Maintain Website focus for SMB lead generation</t>
  </si>
  <si>
    <t>Paid Ads and Referrals moderate contributors</t>
  </si>
  <si>
    <t>Evaluate campaigns to optimize ROI</t>
  </si>
  <si>
    <t>Average deal value higher in Events</t>
  </si>
  <si>
    <t>Shows Events not just high in volume, but high in revenue per deal</t>
  </si>
</sst>
</file>

<file path=xl/styles.xml><?xml version="1.0" encoding="utf-8"?>
<styleSheet xmlns="http://schemas.openxmlformats.org/spreadsheetml/2006/main">
  <fonts count="6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Display"/>
    </font>
    <font>
      <sz val="11"/>
      <color rgb="FF000000"/>
      <name val="Aptos Narrow"/>
      <charset val="1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pivotCacheDefinition" Target="pivotCache/pivotCacheDefinition1.xml" /><Relationship Id="rId8" Type="http://schemas.openxmlformats.org/officeDocument/2006/relationships/pivotCacheDefinition" Target="pivotCache/pivotCacheDefinition2.xml" /><Relationship Id="rId9" Type="http://schemas.openxmlformats.org/officeDocument/2006/relationships/pivotCacheDefinition" Target="pivotCache/pivotCacheDefinition3.xml" /><Relationship Id="rId10" Type="http://schemas.openxmlformats.org/officeDocument/2006/relationships/styles" Target="styles.xml" /><Relationship Id="rId11" Type="http://schemas.openxmlformats.org/officeDocument/2006/relationships/theme" Target="theme/theme1.xml" /><Relationship Id="rId12" Type="http://schemas.openxmlformats.org/officeDocument/2006/relationships/calcChain" Target="calcChain.xml" /><Relationship Id="rId13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4.xlsx]visual!PivotTable5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'deal_value' by 'lead_source' and 'company_size'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visual!$B$3:$B$4</c:f>
              <c:strCache>
                <c:ptCount val="1"/>
                <c:pt idx="0">
                  <c:v>company_size Enterprise</c:v>
                </c:pt>
              </c:strCache>
            </c:strRef>
          </c:tx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visual!$A$5:$A$9</c:f>
              <c:strCache>
                <c:ptCount val="5"/>
                <c:pt idx="0">
                  <c:v>Event</c:v>
                </c:pt>
                <c:pt idx="1">
                  <c:v>Paid Ads</c:v>
                </c:pt>
                <c:pt idx="2">
                  <c:v>Referral</c:v>
                </c:pt>
                <c:pt idx="3">
                  <c:v>Website</c:v>
                </c:pt>
                <c:pt idx="4">
                  <c:v>Grand Total</c:v>
                </c:pt>
              </c:strCache>
            </c:strRef>
          </c:cat>
          <c:val>
            <c:numRef>
              <c:f>visual!$B$5:$B$9</c:f>
              <c:numCache>
                <c:formatCode>General</c:formatCode>
                <c:ptCount val="5"/>
                <c:pt idx="0">
                  <c:v>1150000</c:v>
                </c:pt>
                <c:pt idx="1">
                  <c:v>650000</c:v>
                </c:pt>
                <c:pt idx="2">
                  <c:v>670000</c:v>
                </c:pt>
                <c:pt idx="3">
                  <c:v>120000</c:v>
                </c:pt>
                <c:pt idx="4">
                  <c:v>2590000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171450</xdr:rowOff>
    </xdr:from>
    <xdr:to>
      <xdr:col>11</xdr:col>
      <xdr:colOff>323850</xdr:colOff>
      <xdr:row>15</xdr:row>
      <xdr:rowOff>57150</xdr:rowOff>
    </xdr:to>
    <xdr:graphicFrame macro="">
      <xdr:nvGraphicFramePr>
        <xdr:cNvPr id="6" name="Chart 5" descr="Chart type: Pie. 'deal_value' by 'lead_source' and 'company_size'&#10;&#10;Description automatically genera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Excel Services" refreshedDate="46011.0417023148" createdVersion="8" refreshedVersion="8" minRefreshableVersion="3" recordCount="20">
  <cacheSource type="worksheet">
    <worksheetSource sheet="leads" ref="$A$1:$F$21"/>
  </cacheSource>
  <cacheFields count="6">
    <cacheField name="lead_id" numFmtId="0">
      <sharedItems count="20">
        <s v="L001"/>
        <s v="L002"/>
        <s v="L003"/>
        <s v="L004"/>
        <s v="L005"/>
        <s v="L006"/>
        <s v="L007"/>
        <s v="L008"/>
        <s v="L009"/>
        <s v="L010"/>
        <s v="L011"/>
        <s v="L012"/>
        <s v="L013"/>
        <s v="L014"/>
        <s v="L015"/>
        <s v="L016"/>
        <s v="L017"/>
        <s v="L018"/>
        <s v="L019"/>
        <s v="L020"/>
      </sharedItems>
    </cacheField>
    <cacheField name="lead_date" numFmtId="14">
      <sharedItems containsSemiMixedTypes="0" containsNonDate="0" containsDate="1" containsString="0" minDate="2024-01-05T00:00:00" maxDate="2024-01-25T00:00:00" count="20"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</sharedItems>
    </cacheField>
    <cacheField name="industry" numFmtId="0">
      <sharedItems count="5">
        <s v="Commercial Real Estate"/>
        <s v="Healthcare"/>
        <s v="Education"/>
        <s v="Airports &amp; Transport"/>
        <s v="Corporate Offices"/>
      </sharedItems>
    </cacheField>
    <cacheField name="company_size" numFmtId="0">
      <sharedItems count="3">
        <s v="Enterprise"/>
        <s v="Mid-Market"/>
        <s v="SMB"/>
      </sharedItems>
    </cacheField>
    <cacheField name="country" numFmtId="0">
      <sharedItems count="5">
        <s v="UK"/>
        <s v="Germany"/>
        <s v="France"/>
        <s v="Spain"/>
        <s v="Netherlands"/>
      </sharedItems>
    </cacheField>
    <cacheField name="lead_source" numFmtId="0">
      <sharedItems count="4">
        <s v="Website"/>
        <s v="Event"/>
        <s v="Referral"/>
        <s v="Paid Ads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1" refreshedBy="Excel Services" refreshedDate="46013.0342611111" createdVersion="8" refreshedVersion="8" minRefreshableVersion="3" recordCount="17">
  <cacheSource type="worksheet">
    <worksheetSource sheet="oppurtunities" ref="$A$1:$I$18"/>
  </cacheSource>
  <cacheFields count="9">
    <cacheField name="opportunity_id" numFmtId="0">
      <sharedItems containsBlank="1" count="16">
        <s v="O001"/>
        <s v="O002"/>
        <s v="O003"/>
        <s v="O004"/>
        <s v="O005"/>
        <s v="O006"/>
        <s v="O007"/>
        <s v="O008"/>
        <s v="O009"/>
        <s v="O010"/>
        <s v="O011"/>
        <s v="O012"/>
        <s v="O013"/>
        <s v="O014"/>
        <s v="O015"/>
        <m/>
      </sharedItems>
    </cacheField>
    <cacheField name="lead_id" numFmtId="0">
      <sharedItems containsBlank="1" count="16">
        <s v="L001"/>
        <s v="L002"/>
        <s v="L003"/>
        <s v="L004"/>
        <s v="L005"/>
        <s v="L006"/>
        <s v="L007"/>
        <s v="L008"/>
        <s v="L009"/>
        <s v="L010"/>
        <s v="L011"/>
        <s v="L012"/>
        <s v="L013"/>
        <s v="L014"/>
        <s v="L015"/>
        <m/>
      </sharedItems>
    </cacheField>
    <cacheField name="opportunity_stage" numFmtId="0">
      <sharedItems containsBlank="1" count="3">
        <s v="Won"/>
        <s v="Lost"/>
        <m/>
      </sharedItems>
    </cacheField>
    <cacheField name="deal_value" numFmtId="0">
      <sharedItems containsString="0" containsBlank="1" containsNumber="1" containsInteger="1" minValue="20000" maxValue="500000" count="16">
        <n v="120000"/>
        <n v="250000"/>
        <n v="45000"/>
        <n v="300000"/>
        <n v="20000"/>
        <n v="180000"/>
        <n v="60000"/>
        <n v="30000"/>
        <n v="400000"/>
        <n v="220000"/>
        <n v="50000"/>
        <n v="350000"/>
        <n v="40000"/>
        <n v="270000"/>
        <n v="500000"/>
        <m/>
      </sharedItems>
    </cacheField>
    <cacheField name="created_date" numFmtId="0">
      <sharedItems containsNonDate="0" containsDate="1" containsString="0" containsBlank="1" minDate="2024-01-10T00:00:00" maxDate="2024-02-19T00:00:00" count="16">
        <d v="2024-01-10T00:00:00"/>
        <d v="2024-01-12T00:00:00"/>
        <d v="2024-01-15T00:00:00"/>
        <d v="2024-01-18T00:00:00"/>
        <d v="2024-01-20T00:00:00"/>
        <d v="2024-01-22T00:00:00"/>
        <d v="2024-01-25T00:00:00"/>
        <d v="2024-01-28T00:00:00"/>
        <d v="2024-02-01T00:00:00"/>
        <d v="2024-02-05T00:00:00"/>
        <d v="2024-02-07T00:00:00"/>
        <d v="2024-02-10T00:00:00"/>
        <d v="2024-02-12T00:00:00"/>
        <d v="2024-02-15T00:00:00"/>
        <d v="2024-02-18T00:00:00"/>
        <m/>
      </sharedItems>
    </cacheField>
    <cacheField name="close_date" numFmtId="0">
      <sharedItems containsNonDate="0" containsDate="1" containsString="0" containsBlank="1" minDate="2024-02-05T00:00:00" maxDate="2024-06-21T00:00:00" count="16">
        <d v="2024-03-15T00:00:00"/>
        <d v="2024-04-20T00:00:00"/>
        <d v="2024-02-10T00:00:00"/>
        <d v="2024-05-01T00:00:00"/>
        <d v="2024-02-05T00:00:00"/>
        <d v="2024-04-10T00:00:00"/>
        <d v="2024-02-28T00:00:00"/>
        <d v="2024-02-15T00:00:00"/>
        <d v="2024-06-01T00:00:00"/>
        <d v="2024-04-25T00:00:00"/>
        <d v="2024-03-01T00:00:00"/>
        <d v="2024-05-30T00:00:00"/>
        <d v="2024-03-10T00:00:00"/>
        <d v="2024-05-15T00:00:00"/>
        <d v="2024-06-20T00:00:00"/>
        <m/>
      </sharedItems>
    </cacheField>
    <cacheField name="lead_source" numFmtId="0">
      <sharedItems containsBlank="1" count="5">
        <s v="Website"/>
        <s v="Event"/>
        <s v="Referral"/>
        <s v="Paid Ads"/>
        <m/>
      </sharedItems>
    </cacheField>
    <cacheField name="company_size" numFmtId="0">
      <sharedItems containsBlank="1" count="4">
        <s v="Enterprise"/>
        <s v="Mid-Market"/>
        <s v="SMB"/>
        <m/>
      </sharedItems>
    </cacheField>
    <cacheField name="industry" numFmtId="0">
      <sharedItems containsBlank="1" count="6">
        <s v="Commercial Real Estate"/>
        <s v="Healthcare"/>
        <s v="Education"/>
        <s v="Airports &amp; Transport"/>
        <s v="Corporate Offices"/>
        <m/>
      </sharedItems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:id="rId1" refreshedBy="Excel Services" refreshedDate="46013.1090657407" createdVersion="8" refreshedVersion="8" minRefreshableVersion="3" recordCount="15">
  <cacheSource type="worksheet">
    <worksheetSource sheet="oppurtunities" ref="$A$1:$I$16"/>
  </cacheSource>
  <cacheFields count="9">
    <cacheField name="opportunity_id" numFmtId="0">
      <sharedItems count="15">
        <s v="O001"/>
        <s v="O002"/>
        <s v="O003"/>
        <s v="O004"/>
        <s v="O005"/>
        <s v="O006"/>
        <s v="O007"/>
        <s v="O008"/>
        <s v="O009"/>
        <s v="O010"/>
        <s v="O011"/>
        <s v="O012"/>
        <s v="O013"/>
        <s v="O014"/>
        <s v="O015"/>
      </sharedItems>
    </cacheField>
    <cacheField name="lead_id" numFmtId="0">
      <sharedItems count="15">
        <s v="L001"/>
        <s v="L002"/>
        <s v="L003"/>
        <s v="L004"/>
        <s v="L005"/>
        <s v="L006"/>
        <s v="L007"/>
        <s v="L008"/>
        <s v="L009"/>
        <s v="L010"/>
        <s v="L011"/>
        <s v="L012"/>
        <s v="L013"/>
        <s v="L014"/>
        <s v="L015"/>
      </sharedItems>
    </cacheField>
    <cacheField name="opportunity_stage" numFmtId="0">
      <sharedItems count="2">
        <s v="Won"/>
        <s v="Lost"/>
      </sharedItems>
    </cacheField>
    <cacheField name="deal_value" numFmtId="0">
      <sharedItems containsSemiMixedTypes="0" containsString="0" containsNumber="1" containsInteger="1" minValue="20000" maxValue="500000" count="15">
        <n v="120000"/>
        <n v="250000"/>
        <n v="45000"/>
        <n v="300000"/>
        <n v="20000"/>
        <n v="180000"/>
        <n v="60000"/>
        <n v="30000"/>
        <n v="400000"/>
        <n v="220000"/>
        <n v="50000"/>
        <n v="350000"/>
        <n v="40000"/>
        <n v="270000"/>
        <n v="500000"/>
      </sharedItems>
    </cacheField>
    <cacheField name="created_date" numFmtId="14">
      <sharedItems containsSemiMixedTypes="0" containsNonDate="0" containsDate="1" containsString="0" minDate="2024-01-10T00:00:00" maxDate="2024-02-19T00:00:00" count="15">
        <d v="2024-01-10T00:00:00"/>
        <d v="2024-01-12T00:00:00"/>
        <d v="2024-01-15T00:00:00"/>
        <d v="2024-01-18T00:00:00"/>
        <d v="2024-01-20T00:00:00"/>
        <d v="2024-01-22T00:00:00"/>
        <d v="2024-01-25T00:00:00"/>
        <d v="2024-01-28T00:00:00"/>
        <d v="2024-02-01T00:00:00"/>
        <d v="2024-02-05T00:00:00"/>
        <d v="2024-02-07T00:00:00"/>
        <d v="2024-02-10T00:00:00"/>
        <d v="2024-02-12T00:00:00"/>
        <d v="2024-02-15T00:00:00"/>
        <d v="2024-02-18T00:00:00"/>
      </sharedItems>
    </cacheField>
    <cacheField name="close_date" numFmtId="14">
      <sharedItems containsSemiMixedTypes="0" containsNonDate="0" containsDate="1" containsString="0" minDate="2024-02-05T00:00:00" maxDate="2024-06-21T00:00:00" count="15">
        <d v="2024-03-15T00:00:00"/>
        <d v="2024-04-20T00:00:00"/>
        <d v="2024-02-10T00:00:00"/>
        <d v="2024-05-01T00:00:00"/>
        <d v="2024-02-05T00:00:00"/>
        <d v="2024-04-10T00:00:00"/>
        <d v="2024-02-28T00:00:00"/>
        <d v="2024-02-15T00:00:00"/>
        <d v="2024-06-01T00:00:00"/>
        <d v="2024-04-25T00:00:00"/>
        <d v="2024-03-01T00:00:00"/>
        <d v="2024-05-30T00:00:00"/>
        <d v="2024-03-10T00:00:00"/>
        <d v="2024-05-15T00:00:00"/>
        <d v="2024-06-20T00:00:00"/>
      </sharedItems>
    </cacheField>
    <cacheField name="lead_source" numFmtId="0">
      <sharedItems count="4">
        <s v="Website"/>
        <s v="Event"/>
        <s v="Referral"/>
        <s v="Paid Ads"/>
      </sharedItems>
    </cacheField>
    <cacheField name="company_size" numFmtId="0">
      <sharedItems count="3">
        <s v="Enterprise"/>
        <s v="Mid-Market"/>
        <s v="SMB"/>
      </sharedItems>
    </cacheField>
    <cacheField name="industry" numFmtId="0">
      <sharedItems count="5">
        <s v="Commercial Real Estate"/>
        <s v="Healthcare"/>
        <s v="Education"/>
        <s v="Airports &amp; Transport"/>
        <s v="Corporate Offices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20">
  <r>
    <x v="0"/>
    <x v="0"/>
    <x v="0"/>
    <x v="0"/>
    <x v="0"/>
    <x v="0"/>
  </r>
  <r>
    <x v="1"/>
    <x v="1"/>
    <x v="1"/>
    <x v="0"/>
    <x v="1"/>
    <x v="1"/>
  </r>
  <r>
    <x v="2"/>
    <x v="2"/>
    <x v="2"/>
    <x v="1"/>
    <x v="0"/>
    <x v="2"/>
  </r>
  <r>
    <x v="3"/>
    <x v="3"/>
    <x v="3"/>
    <x v="0"/>
    <x v="2"/>
    <x v="3"/>
  </r>
  <r>
    <x v="4"/>
    <x v="4"/>
    <x v="0"/>
    <x v="2"/>
    <x v="3"/>
    <x v="0"/>
  </r>
  <r>
    <x v="5"/>
    <x v="5"/>
    <x v="1"/>
    <x v="0"/>
    <x v="4"/>
    <x v="1"/>
  </r>
  <r>
    <x v="6"/>
    <x v="6"/>
    <x v="4"/>
    <x v="1"/>
    <x v="0"/>
    <x v="3"/>
  </r>
  <r>
    <x v="7"/>
    <x v="7"/>
    <x v="2"/>
    <x v="2"/>
    <x v="1"/>
    <x v="0"/>
  </r>
  <r>
    <x v="8"/>
    <x v="8"/>
    <x v="3"/>
    <x v="0"/>
    <x v="2"/>
    <x v="2"/>
  </r>
  <r>
    <x v="9"/>
    <x v="9"/>
    <x v="0"/>
    <x v="0"/>
    <x v="0"/>
    <x v="1"/>
  </r>
  <r>
    <x v="10"/>
    <x v="10"/>
    <x v="1"/>
    <x v="1"/>
    <x v="3"/>
    <x v="0"/>
  </r>
  <r>
    <x v="11"/>
    <x v="11"/>
    <x v="4"/>
    <x v="0"/>
    <x v="1"/>
    <x v="3"/>
  </r>
  <r>
    <x v="12"/>
    <x v="12"/>
    <x v="2"/>
    <x v="1"/>
    <x v="2"/>
    <x v="0"/>
  </r>
  <r>
    <x v="13"/>
    <x v="13"/>
    <x v="0"/>
    <x v="0"/>
    <x v="4"/>
    <x v="2"/>
  </r>
  <r>
    <x v="14"/>
    <x v="14"/>
    <x v="3"/>
    <x v="0"/>
    <x v="0"/>
    <x v="1"/>
  </r>
  <r>
    <x v="15"/>
    <x v="15"/>
    <x v="1"/>
    <x v="2"/>
    <x v="2"/>
    <x v="3"/>
  </r>
  <r>
    <x v="16"/>
    <x v="16"/>
    <x v="4"/>
    <x v="1"/>
    <x v="3"/>
    <x v="0"/>
  </r>
  <r>
    <x v="17"/>
    <x v="17"/>
    <x v="2"/>
    <x v="0"/>
    <x v="1"/>
    <x v="1"/>
  </r>
  <r>
    <x v="18"/>
    <x v="18"/>
    <x v="0"/>
    <x v="2"/>
    <x v="0"/>
    <x v="3"/>
  </r>
  <r>
    <x v="19"/>
    <x v="19"/>
    <x v="1"/>
    <x v="0"/>
    <x v="4"/>
    <x v="2"/>
  </r>
</pivotCacheRecords>
</file>

<file path=xl/pivotCache/pivotCacheRecords2.xml><?xml version="1.0" encoding="utf-8"?>
<pivotCacheRecords xmlns:r="http://schemas.openxmlformats.org/officeDocument/2006/relationships" xmlns="http://schemas.openxmlformats.org/spreadsheetml/2006/main" count="17">
  <r>
    <x v="0"/>
    <x v="0"/>
    <x v="0"/>
    <x v="0"/>
    <x v="0"/>
    <x v="0"/>
    <x v="0"/>
    <x v="0"/>
    <x v="0"/>
  </r>
  <r>
    <x v="1"/>
    <x v="1"/>
    <x v="0"/>
    <x v="1"/>
    <x v="1"/>
    <x v="1"/>
    <x v="1"/>
    <x v="0"/>
    <x v="1"/>
  </r>
  <r>
    <x v="2"/>
    <x v="2"/>
    <x v="1"/>
    <x v="2"/>
    <x v="2"/>
    <x v="2"/>
    <x v="2"/>
    <x v="1"/>
    <x v="2"/>
  </r>
  <r>
    <x v="3"/>
    <x v="3"/>
    <x v="0"/>
    <x v="3"/>
    <x v="3"/>
    <x v="3"/>
    <x v="3"/>
    <x v="0"/>
    <x v="3"/>
  </r>
  <r>
    <x v="4"/>
    <x v="4"/>
    <x v="1"/>
    <x v="4"/>
    <x v="4"/>
    <x v="4"/>
    <x v="0"/>
    <x v="2"/>
    <x v="0"/>
  </r>
  <r>
    <x v="5"/>
    <x v="5"/>
    <x v="0"/>
    <x v="5"/>
    <x v="5"/>
    <x v="5"/>
    <x v="1"/>
    <x v="0"/>
    <x v="1"/>
  </r>
  <r>
    <x v="6"/>
    <x v="6"/>
    <x v="1"/>
    <x v="6"/>
    <x v="6"/>
    <x v="6"/>
    <x v="3"/>
    <x v="1"/>
    <x v="4"/>
  </r>
  <r>
    <x v="7"/>
    <x v="7"/>
    <x v="1"/>
    <x v="7"/>
    <x v="7"/>
    <x v="7"/>
    <x v="0"/>
    <x v="2"/>
    <x v="2"/>
  </r>
  <r>
    <x v="8"/>
    <x v="8"/>
    <x v="0"/>
    <x v="8"/>
    <x v="8"/>
    <x v="8"/>
    <x v="2"/>
    <x v="0"/>
    <x v="3"/>
  </r>
  <r>
    <x v="9"/>
    <x v="9"/>
    <x v="0"/>
    <x v="9"/>
    <x v="9"/>
    <x v="9"/>
    <x v="1"/>
    <x v="0"/>
    <x v="0"/>
  </r>
  <r>
    <x v="10"/>
    <x v="10"/>
    <x v="1"/>
    <x v="10"/>
    <x v="10"/>
    <x v="10"/>
    <x v="0"/>
    <x v="1"/>
    <x v="1"/>
  </r>
  <r>
    <x v="11"/>
    <x v="11"/>
    <x v="0"/>
    <x v="11"/>
    <x v="11"/>
    <x v="11"/>
    <x v="3"/>
    <x v="0"/>
    <x v="4"/>
  </r>
  <r>
    <x v="12"/>
    <x v="12"/>
    <x v="1"/>
    <x v="12"/>
    <x v="12"/>
    <x v="12"/>
    <x v="0"/>
    <x v="1"/>
    <x v="2"/>
  </r>
  <r>
    <x v="13"/>
    <x v="13"/>
    <x v="0"/>
    <x v="13"/>
    <x v="13"/>
    <x v="13"/>
    <x v="2"/>
    <x v="0"/>
    <x v="0"/>
  </r>
  <r>
    <x v="14"/>
    <x v="14"/>
    <x v="0"/>
    <x v="14"/>
    <x v="14"/>
    <x v="14"/>
    <x v="1"/>
    <x v="0"/>
    <x v="3"/>
  </r>
  <r>
    <x v="15"/>
    <x v="15"/>
    <x v="2"/>
    <x v="15"/>
    <x v="15"/>
    <x v="15"/>
    <x v="4"/>
    <x v="3"/>
    <x v="5"/>
  </r>
  <r>
    <x v="15"/>
    <x v="15"/>
    <x v="2"/>
    <x v="15"/>
    <x v="15"/>
    <x v="15"/>
    <x v="4"/>
    <x v="3"/>
    <x v="5"/>
  </r>
</pivotCacheRecords>
</file>

<file path=xl/pivotCache/pivotCacheRecords3.xml><?xml version="1.0" encoding="utf-8"?>
<pivotCacheRecords xmlns:r="http://schemas.openxmlformats.org/officeDocument/2006/relationships" xmlns="http://schemas.openxmlformats.org/spreadsheetml/2006/main" count="15">
  <r>
    <x v="0"/>
    <x v="0"/>
    <x v="0"/>
    <x v="0"/>
    <x v="0"/>
    <x v="0"/>
    <x v="0"/>
    <x v="0"/>
    <x v="0"/>
  </r>
  <r>
    <x v="1"/>
    <x v="1"/>
    <x v="0"/>
    <x v="1"/>
    <x v="1"/>
    <x v="1"/>
    <x v="1"/>
    <x v="0"/>
    <x v="1"/>
  </r>
  <r>
    <x v="2"/>
    <x v="2"/>
    <x v="1"/>
    <x v="2"/>
    <x v="2"/>
    <x v="2"/>
    <x v="2"/>
    <x v="1"/>
    <x v="2"/>
  </r>
  <r>
    <x v="3"/>
    <x v="3"/>
    <x v="0"/>
    <x v="3"/>
    <x v="3"/>
    <x v="3"/>
    <x v="3"/>
    <x v="0"/>
    <x v="3"/>
  </r>
  <r>
    <x v="4"/>
    <x v="4"/>
    <x v="1"/>
    <x v="4"/>
    <x v="4"/>
    <x v="4"/>
    <x v="0"/>
    <x v="2"/>
    <x v="0"/>
  </r>
  <r>
    <x v="5"/>
    <x v="5"/>
    <x v="0"/>
    <x v="5"/>
    <x v="5"/>
    <x v="5"/>
    <x v="1"/>
    <x v="0"/>
    <x v="1"/>
  </r>
  <r>
    <x v="6"/>
    <x v="6"/>
    <x v="1"/>
    <x v="6"/>
    <x v="6"/>
    <x v="6"/>
    <x v="3"/>
    <x v="1"/>
    <x v="4"/>
  </r>
  <r>
    <x v="7"/>
    <x v="7"/>
    <x v="1"/>
    <x v="7"/>
    <x v="7"/>
    <x v="7"/>
    <x v="0"/>
    <x v="2"/>
    <x v="2"/>
  </r>
  <r>
    <x v="8"/>
    <x v="8"/>
    <x v="0"/>
    <x v="8"/>
    <x v="8"/>
    <x v="8"/>
    <x v="2"/>
    <x v="0"/>
    <x v="3"/>
  </r>
  <r>
    <x v="9"/>
    <x v="9"/>
    <x v="0"/>
    <x v="9"/>
    <x v="9"/>
    <x v="9"/>
    <x v="1"/>
    <x v="0"/>
    <x v="0"/>
  </r>
  <r>
    <x v="10"/>
    <x v="10"/>
    <x v="1"/>
    <x v="10"/>
    <x v="10"/>
    <x v="10"/>
    <x v="0"/>
    <x v="1"/>
    <x v="1"/>
  </r>
  <r>
    <x v="11"/>
    <x v="11"/>
    <x v="0"/>
    <x v="11"/>
    <x v="11"/>
    <x v="11"/>
    <x v="3"/>
    <x v="0"/>
    <x v="4"/>
  </r>
  <r>
    <x v="12"/>
    <x v="12"/>
    <x v="1"/>
    <x v="12"/>
    <x v="12"/>
    <x v="12"/>
    <x v="0"/>
    <x v="1"/>
    <x v="2"/>
  </r>
  <r>
    <x v="13"/>
    <x v="13"/>
    <x v="0"/>
    <x v="13"/>
    <x v="13"/>
    <x v="13"/>
    <x v="2"/>
    <x v="0"/>
    <x v="0"/>
  </r>
  <r>
    <x v="14"/>
    <x v="14"/>
    <x v="0"/>
    <x v="14"/>
    <x v="14"/>
    <x v="14"/>
    <x v="1"/>
    <x v="0"/>
    <x v="3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&#65279;<?xml version="1.0" encoding="utf-8"?><Relationships xmlns="http://schemas.openxmlformats.org/package/2006/relationships"><Relationship Id="rId2" Type="http://schemas.openxmlformats.org/officeDocument/2006/relationships/pivotCacheDefinition" Target="../pivotCache/pivotCacheDefinition2.xml" /></Relationships>
</file>

<file path=xl/pivotTables/_rels/pivotTable3.xml.rels>&#65279;<?xml version="1.0" encoding="utf-8"?><Relationships xmlns="http://schemas.openxmlformats.org/package/2006/relationships"><Relationship Id="rId3" Type="http://schemas.openxmlformats.org/officeDocument/2006/relationships/pivotCacheDefinition" Target="../pivotCache/pivotCacheDefinition3.xml" /></Relationships>
</file>

<file path=xl/pivotTables/_rels/pivotTable4.xml.rels>&#65279;<?xml version="1.0" encoding="utf-8"?><Relationships xmlns="http://schemas.openxmlformats.org/package/2006/relationships"><Relationship Id="rId4" Type="http://schemas.openxmlformats.org/officeDocument/2006/relationships/pivotCacheDefinition" Target="../pivotCache/pivotCacheDefinition3.xml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 rowPageCount="1" colPageCount="1"/>
  <pivotFields count="6">
    <pivotField dataField="1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4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Page" compact="0" outline="0" multipleItemSelectionAllowed="1" showAll="0">
      <items count="6">
        <item x="3"/>
        <item x="0"/>
        <item x="4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Count of lead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 rowPageCount="1" colPageCount="1"/>
  <pivotFields count="9">
    <pivotField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compact="0" outline="0" showAll="0">
      <items count="4">
        <item h="1" x="1"/>
        <item x="0"/>
        <item h="1" x="2"/>
        <item t="default"/>
      </items>
    </pivotField>
    <pivotField dataField="1" compact="0" outline="0" showAll="0">
      <items count="17">
        <item x="4"/>
        <item x="7"/>
        <item x="12"/>
        <item x="2"/>
        <item x="10"/>
        <item x="6"/>
        <item x="0"/>
        <item x="5"/>
        <item x="9"/>
        <item x="1"/>
        <item x="13"/>
        <item x="3"/>
        <item x="11"/>
        <item x="8"/>
        <item x="14"/>
        <item x="15"/>
        <item t="default"/>
      </items>
    </pivotField>
    <pivotField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howAll="0">
      <items count="17">
        <item x="4"/>
        <item x="2"/>
        <item x="7"/>
        <item x="6"/>
        <item x="10"/>
        <item x="12"/>
        <item x="0"/>
        <item x="5"/>
        <item x="1"/>
        <item x="9"/>
        <item x="3"/>
        <item x="13"/>
        <item x="11"/>
        <item x="8"/>
        <item x="14"/>
        <item x="15"/>
        <item t="default"/>
      </items>
    </pivotField>
    <pivotField axis="axisRow" compact="0" outline="0" showAll="0">
      <items count="6">
        <item x="1"/>
        <item x="3"/>
        <item x="2"/>
        <item x="0"/>
        <item x="4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7">
        <item x="3"/>
        <item x="0"/>
        <item x="4"/>
        <item x="2"/>
        <item x="1"/>
        <item x="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Sum of deal_value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" firstHeaderRow="1" firstDataRow="2" firstDataCol="1" rowPageCount="1" colPageCount="1"/>
  <pivotFields count="9"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compact="0" outline="0" showAll="0">
      <items count="3">
        <item h="1" x="1"/>
        <item x="0"/>
        <item t="default"/>
      </items>
    </pivotField>
    <pivotField dataField="1" compact="0" outline="0" showAll="0">
      <items count="16">
        <item x="4"/>
        <item x="7"/>
        <item x="12"/>
        <item x="2"/>
        <item x="10"/>
        <item x="6"/>
        <item x="0"/>
        <item x="5"/>
        <item x="9"/>
        <item x="1"/>
        <item x="13"/>
        <item x="3"/>
        <item x="11"/>
        <item x="8"/>
        <item x="14"/>
        <item t="default"/>
      </items>
    </pivotField>
    <pivotField compact="0" numFmtId="14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4" outline="0" showAll="0">
      <items count="16">
        <item x="4"/>
        <item x="2"/>
        <item x="7"/>
        <item x="6"/>
        <item x="10"/>
        <item x="12"/>
        <item x="0"/>
        <item x="5"/>
        <item x="1"/>
        <item x="9"/>
        <item x="3"/>
        <item x="13"/>
        <item x="11"/>
        <item x="8"/>
        <item x="14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>
      <items count="6">
        <item x="3"/>
        <item x="0"/>
        <item x="4"/>
        <item x="2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2">
    <i>
      <x/>
    </i>
    <i t="grand">
      <x/>
    </i>
  </colItems>
  <pageFields count="1">
    <pageField fld="2" item="1" hier="-1"/>
  </pageFields>
  <dataFields count="1">
    <dataField name="Sum of deal_value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C9" firstHeaderRow="1" firstDataRow="2" firstDataCol="1" rowPageCount="1" colPageCount="1"/>
  <pivotFields count="9"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compact="0" outline="0" showAll="0">
      <items count="3">
        <item h="1" x="1"/>
        <item x="0"/>
        <item t="default"/>
      </items>
    </pivotField>
    <pivotField dataField="1" compact="0" outline="0" showAll="0">
      <items count="16">
        <item x="4"/>
        <item x="7"/>
        <item x="12"/>
        <item x="2"/>
        <item x="10"/>
        <item x="6"/>
        <item x="0"/>
        <item x="5"/>
        <item x="9"/>
        <item x="1"/>
        <item x="13"/>
        <item x="3"/>
        <item x="11"/>
        <item x="8"/>
        <item x="14"/>
        <item t="default"/>
      </items>
    </pivotField>
    <pivotField compact="0" numFmtId="14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4" outline="0" showAll="0">
      <items count="16">
        <item x="4"/>
        <item x="2"/>
        <item x="7"/>
        <item x="6"/>
        <item x="10"/>
        <item x="12"/>
        <item x="0"/>
        <item x="5"/>
        <item x="1"/>
        <item x="9"/>
        <item x="3"/>
        <item x="13"/>
        <item x="11"/>
        <item x="8"/>
        <item x="14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>
      <items count="6">
        <item x="3"/>
        <item x="0"/>
        <item x="4"/>
        <item x="2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2">
    <i>
      <x/>
    </i>
    <i t="grand">
      <x/>
    </i>
  </colItems>
  <pageFields count="1">
    <pageField fld="2" item="1" hier="-1"/>
  </pageFields>
  <dataFields count="1">
    <dataField name="Sum of deal_value" fld="3" baseField="0" baseItem="0"/>
  </dataFields>
  <chartFormats count="18"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7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7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4.xml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" sqref="G2"/>
    </sheetView>
  </sheetViews>
  <sheetFormatPr defaultRowHeight="14.25"/>
  <cols>
    <col min="2" max="2" width="9.875" bestFit="1" customWidth="1"/>
    <col min="3" max="3" width="21.375" bestFit="1" customWidth="1"/>
    <col min="4" max="4" width="13" bestFit="1" customWidth="1"/>
    <col min="5" max="5" width="11.375" bestFit="1" customWidth="1"/>
    <col min="6" max="6" width="11.2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45296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 s="1">
        <v>45297</v>
      </c>
      <c r="C3" t="s">
        <v>12</v>
      </c>
      <c r="D3" t="s">
        <v>8</v>
      </c>
      <c r="E3" t="s">
        <v>13</v>
      </c>
      <c r="F3" t="s">
        <v>14</v>
      </c>
    </row>
    <row r="4">
      <c r="A4" t="s">
        <v>15</v>
      </c>
      <c r="B4" s="1">
        <v>45298</v>
      </c>
      <c r="C4" t="s">
        <v>16</v>
      </c>
      <c r="D4" t="s">
        <v>17</v>
      </c>
      <c r="E4" t="s">
        <v>9</v>
      </c>
      <c r="F4" t="s">
        <v>18</v>
      </c>
    </row>
    <row r="5">
      <c r="A5" t="s">
        <v>19</v>
      </c>
      <c r="B5" s="1">
        <v>45299</v>
      </c>
      <c r="C5" t="s">
        <v>20</v>
      </c>
      <c r="D5" t="s">
        <v>8</v>
      </c>
      <c r="E5" t="s">
        <v>21</v>
      </c>
      <c r="F5" t="s">
        <v>22</v>
      </c>
    </row>
    <row r="6">
      <c r="A6" t="s">
        <v>23</v>
      </c>
      <c r="B6" s="1">
        <v>45300</v>
      </c>
      <c r="C6" t="s">
        <v>7</v>
      </c>
      <c r="D6" t="s">
        <v>24</v>
      </c>
      <c r="E6" t="s">
        <v>25</v>
      </c>
      <c r="F6" t="s">
        <v>10</v>
      </c>
    </row>
    <row r="7">
      <c r="A7" t="s">
        <v>26</v>
      </c>
      <c r="B7" s="1">
        <v>45301</v>
      </c>
      <c r="C7" t="s">
        <v>12</v>
      </c>
      <c r="D7" t="s">
        <v>8</v>
      </c>
      <c r="E7" t="s">
        <v>27</v>
      </c>
      <c r="F7" t="s">
        <v>14</v>
      </c>
    </row>
    <row r="8">
      <c r="A8" t="s">
        <v>28</v>
      </c>
      <c r="B8" s="1">
        <v>45302</v>
      </c>
      <c r="C8" t="s">
        <v>29</v>
      </c>
      <c r="D8" t="s">
        <v>17</v>
      </c>
      <c r="E8" t="s">
        <v>9</v>
      </c>
      <c r="F8" t="s">
        <v>22</v>
      </c>
    </row>
    <row r="9">
      <c r="A9" t="s">
        <v>30</v>
      </c>
      <c r="B9" s="1">
        <v>45303</v>
      </c>
      <c r="C9" t="s">
        <v>16</v>
      </c>
      <c r="D9" t="s">
        <v>24</v>
      </c>
      <c r="E9" t="s">
        <v>13</v>
      </c>
      <c r="F9" t="s">
        <v>10</v>
      </c>
    </row>
    <row r="10">
      <c r="A10" t="s">
        <v>31</v>
      </c>
      <c r="B10" s="1">
        <v>45304</v>
      </c>
      <c r="C10" t="s">
        <v>20</v>
      </c>
      <c r="D10" t="s">
        <v>8</v>
      </c>
      <c r="E10" t="s">
        <v>21</v>
      </c>
      <c r="F10" t="s">
        <v>18</v>
      </c>
    </row>
    <row r="11">
      <c r="A11" t="s">
        <v>32</v>
      </c>
      <c r="B11" s="1">
        <v>45305</v>
      </c>
      <c r="C11" t="s">
        <v>7</v>
      </c>
      <c r="D11" t="s">
        <v>8</v>
      </c>
      <c r="E11" t="s">
        <v>9</v>
      </c>
      <c r="F11" t="s">
        <v>14</v>
      </c>
    </row>
    <row r="12">
      <c r="A12" t="s">
        <v>33</v>
      </c>
      <c r="B12" s="1">
        <v>45306</v>
      </c>
      <c r="C12" t="s">
        <v>12</v>
      </c>
      <c r="D12" t="s">
        <v>17</v>
      </c>
      <c r="E12" t="s">
        <v>25</v>
      </c>
      <c r="F12" t="s">
        <v>10</v>
      </c>
    </row>
    <row r="13">
      <c r="A13" t="s">
        <v>34</v>
      </c>
      <c r="B13" s="1">
        <v>45307</v>
      </c>
      <c r="C13" t="s">
        <v>29</v>
      </c>
      <c r="D13" t="s">
        <v>8</v>
      </c>
      <c r="E13" t="s">
        <v>13</v>
      </c>
      <c r="F13" t="s">
        <v>22</v>
      </c>
    </row>
    <row r="14">
      <c r="A14" t="s">
        <v>35</v>
      </c>
      <c r="B14" s="1">
        <v>45308</v>
      </c>
      <c r="C14" t="s">
        <v>16</v>
      </c>
      <c r="D14" t="s">
        <v>17</v>
      </c>
      <c r="E14" t="s">
        <v>21</v>
      </c>
      <c r="F14" t="s">
        <v>10</v>
      </c>
    </row>
    <row r="15">
      <c r="A15" t="s">
        <v>36</v>
      </c>
      <c r="B15" s="1">
        <v>45309</v>
      </c>
      <c r="C15" t="s">
        <v>7</v>
      </c>
      <c r="D15" t="s">
        <v>8</v>
      </c>
      <c r="E15" t="s">
        <v>27</v>
      </c>
      <c r="F15" t="s">
        <v>18</v>
      </c>
    </row>
    <row r="16">
      <c r="A16" t="s">
        <v>37</v>
      </c>
      <c r="B16" s="1">
        <v>45310</v>
      </c>
      <c r="C16" t="s">
        <v>20</v>
      </c>
      <c r="D16" t="s">
        <v>8</v>
      </c>
      <c r="E16" t="s">
        <v>9</v>
      </c>
      <c r="F16" t="s">
        <v>14</v>
      </c>
    </row>
    <row r="17">
      <c r="A17" t="s">
        <v>38</v>
      </c>
      <c r="B17" s="1">
        <v>45311</v>
      </c>
      <c r="C17" t="s">
        <v>12</v>
      </c>
      <c r="D17" t="s">
        <v>24</v>
      </c>
      <c r="E17" t="s">
        <v>21</v>
      </c>
      <c r="F17" t="s">
        <v>22</v>
      </c>
    </row>
    <row r="18">
      <c r="A18" t="s">
        <v>39</v>
      </c>
      <c r="B18" s="1">
        <v>45312</v>
      </c>
      <c r="C18" t="s">
        <v>29</v>
      </c>
      <c r="D18" t="s">
        <v>17</v>
      </c>
      <c r="E18" t="s">
        <v>25</v>
      </c>
      <c r="F18" t="s">
        <v>10</v>
      </c>
    </row>
    <row r="19">
      <c r="A19" t="s">
        <v>40</v>
      </c>
      <c r="B19" s="1">
        <v>45313</v>
      </c>
      <c r="C19" t="s">
        <v>16</v>
      </c>
      <c r="D19" t="s">
        <v>8</v>
      </c>
      <c r="E19" t="s">
        <v>13</v>
      </c>
      <c r="F19" t="s">
        <v>14</v>
      </c>
    </row>
    <row r="20">
      <c r="A20" t="s">
        <v>41</v>
      </c>
      <c r="B20" s="1">
        <v>45314</v>
      </c>
      <c r="C20" t="s">
        <v>7</v>
      </c>
      <c r="D20" t="s">
        <v>24</v>
      </c>
      <c r="E20" t="s">
        <v>9</v>
      </c>
      <c r="F20" t="s">
        <v>22</v>
      </c>
    </row>
    <row r="21">
      <c r="A21" t="s">
        <v>42</v>
      </c>
      <c r="B21" s="1">
        <v>45315</v>
      </c>
      <c r="C21" t="s">
        <v>12</v>
      </c>
      <c r="D21" t="s">
        <v>8</v>
      </c>
      <c r="E21" t="s">
        <v>27</v>
      </c>
      <c r="F21" t="s">
        <v>18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" sqref="A2"/>
    </sheetView>
  </sheetViews>
  <sheetFormatPr defaultRowHeight="14.25"/>
  <cols>
    <col min="1" max="1" width="15.125" bestFit="1" customWidth="1"/>
    <col min="2" max="2" width="16.625" bestFit="1" customWidth="1"/>
    <col min="3" max="3" width="10.875" bestFit="1" customWidth="1"/>
    <col min="4" max="4" width="4.75" bestFit="1" customWidth="1"/>
    <col min="5" max="5" width="11.125" bestFit="1" customWidth="1"/>
    <col min="9" max="9" width="36.625" bestFit="1" customWidth="1"/>
  </cols>
  <sheetData>
    <row r="1" ht="15">
      <c r="A1" s="2" t="s">
        <v>2</v>
      </c>
      <c r="B1" t="s">
        <v>43</v>
      </c>
    </row>
    <row r="3" ht="15">
      <c r="A3" s="2" t="s">
        <v>44</v>
      </c>
      <c r="B3" s="2" t="s">
        <v>3</v>
      </c>
      <c r="I3" s="3" t="s">
        <v>45</v>
      </c>
    </row>
    <row r="4" ht="29.25">
      <c r="A4" s="2" t="s">
        <v>5</v>
      </c>
      <c r="B4" t="s">
        <v>8</v>
      </c>
      <c r="C4" t="s">
        <v>17</v>
      </c>
      <c r="D4" t="s">
        <v>24</v>
      </c>
      <c r="E4" t="s">
        <v>46</v>
      </c>
      <c r="I4" s="4" t="s">
        <v>47</v>
      </c>
    </row>
    <row r="5" ht="29.25">
      <c r="A5" t="s">
        <v>14</v>
      </c>
      <c r="B5" s="5">
        <v>5</v>
      </c>
      <c r="C5" s="5"/>
      <c r="D5" s="5"/>
      <c r="E5" s="5">
        <v>5</v>
      </c>
      <c r="I5" s="4" t="s">
        <v>48</v>
      </c>
    </row>
    <row r="6" ht="29.25">
      <c r="A6" t="s">
        <v>22</v>
      </c>
      <c r="B6" s="5">
        <v>2</v>
      </c>
      <c r="C6" s="5">
        <v>1</v>
      </c>
      <c r="D6" s="5">
        <v>2</v>
      </c>
      <c r="E6" s="5">
        <v>5</v>
      </c>
      <c r="I6" s="4" t="s">
        <v>49</v>
      </c>
    </row>
    <row r="7" ht="29.25">
      <c r="A7" t="s">
        <v>18</v>
      </c>
      <c r="B7" s="5">
        <v>3</v>
      </c>
      <c r="C7" s="5">
        <v>1</v>
      </c>
      <c r="D7" s="5"/>
      <c r="E7" s="5">
        <v>4</v>
      </c>
      <c r="I7" s="4" t="s">
        <v>50</v>
      </c>
    </row>
    <row r="8" ht="15">
      <c r="A8" t="s">
        <v>10</v>
      </c>
      <c r="B8" s="5">
        <v>1</v>
      </c>
      <c r="C8" s="5">
        <v>3</v>
      </c>
      <c r="D8" s="5">
        <v>2</v>
      </c>
      <c r="E8" s="5">
        <v>6</v>
      </c>
    </row>
    <row r="9" ht="15">
      <c r="A9" t="s">
        <v>46</v>
      </c>
      <c r="B9" s="5">
        <v>11</v>
      </c>
      <c r="C9" s="5">
        <v>5</v>
      </c>
      <c r="D9" s="5">
        <v>4</v>
      </c>
      <c r="E9" s="5">
        <v>20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C1">
      <selection activeCell="J7" sqref="J7"/>
    </sheetView>
  </sheetViews>
  <sheetFormatPr defaultRowHeight="14.25"/>
  <cols>
    <col min="1" max="1" width="13.125" bestFit="1" customWidth="1"/>
    <col min="3" max="3" width="16.25" bestFit="1" customWidth="1"/>
    <col min="4" max="4" width="10" bestFit="1" customWidth="1"/>
    <col min="5" max="5" width="12.125" bestFit="1" customWidth="1"/>
    <col min="6" max="6" width="10.125" bestFit="1" customWidth="1"/>
    <col min="7" max="7" width="12" customWidth="1"/>
    <col min="8" max="8" width="13" bestFit="1" customWidth="1"/>
    <col min="9" max="9" width="21.875" customWidth="1"/>
  </cols>
  <sheetData>
    <row r="1">
      <c r="A1" t="s">
        <v>51</v>
      </c>
      <c r="B1" t="s">
        <v>0</v>
      </c>
      <c r="C1" t="s">
        <v>52</v>
      </c>
      <c r="D1" t="s">
        <v>53</v>
      </c>
      <c r="E1" t="s">
        <v>54</v>
      </c>
      <c r="F1" t="s">
        <v>55</v>
      </c>
      <c r="G1" t="s">
        <v>5</v>
      </c>
      <c r="H1" t="s">
        <v>3</v>
      </c>
      <c r="I1" t="s">
        <v>2</v>
      </c>
    </row>
    <row r="2">
      <c r="A2" t="s">
        <v>56</v>
      </c>
      <c r="B2" t="s">
        <v>6</v>
      </c>
      <c r="C2" t="s">
        <v>57</v>
      </c>
      <c r="D2">
        <v>120000</v>
      </c>
      <c r="E2" s="1">
        <v>45301</v>
      </c>
      <c r="F2" s="1">
        <v>45366</v>
      </c>
      <c r="G2" s="6" t="str">
        <f>_xlfn.XLOOKUP(B2, leads!A:A, leads!F:F, "")</f>
        <v>Website</v>
      </c>
      <c r="H2" t="str">
        <f>_xlfn.XLOOKUP(B2, leads!A:A, leads!D:D, "")</f>
        <v>Enterprise</v>
      </c>
      <c r="I2" t="str">
        <f>_xlfn.XLOOKUP(B2, leads!A:A, leads!C:C, "")</f>
        <v>Commercial Real Estate</v>
      </c>
    </row>
    <row r="3">
      <c r="A3" t="s">
        <v>58</v>
      </c>
      <c r="B3" t="s">
        <v>11</v>
      </c>
      <c r="C3" t="s">
        <v>57</v>
      </c>
      <c r="D3">
        <v>250000</v>
      </c>
      <c r="E3" s="1">
        <v>45303</v>
      </c>
      <c r="F3" s="1">
        <v>45402</v>
      </c>
      <c r="G3" s="6" t="str">
        <f>_xlfn.XLOOKUP(B3, leads!A:A, leads!F:F, "")</f>
        <v>Event</v>
      </c>
      <c r="H3" t="str">
        <f>_xlfn.XLOOKUP(B3, leads!A:A, leads!D:D, "")</f>
        <v>Enterprise</v>
      </c>
      <c r="I3" t="str">
        <f>_xlfn.XLOOKUP(B3, leads!A:A, leads!C:C, "")</f>
        <v>Healthcare</v>
      </c>
    </row>
    <row r="4">
      <c r="A4" t="s">
        <v>59</v>
      </c>
      <c r="B4" t="s">
        <v>15</v>
      </c>
      <c r="C4" t="s">
        <v>60</v>
      </c>
      <c r="D4">
        <v>45000</v>
      </c>
      <c r="E4" s="1">
        <v>45306</v>
      </c>
      <c r="F4" s="1">
        <v>45332</v>
      </c>
      <c r="G4" s="6" t="str">
        <f>_xlfn.XLOOKUP(B4, leads!A:A, leads!F:F, "")</f>
        <v>Referral</v>
      </c>
      <c r="H4" t="str">
        <f>_xlfn.XLOOKUP(B4, leads!A:A, leads!D:D, "")</f>
        <v>Mid-Market</v>
      </c>
      <c r="I4" t="str">
        <f>_xlfn.XLOOKUP(B4, leads!A:A, leads!C:C, "")</f>
        <v>Education</v>
      </c>
    </row>
    <row r="5">
      <c r="A5" t="s">
        <v>61</v>
      </c>
      <c r="B5" t="s">
        <v>19</v>
      </c>
      <c r="C5" t="s">
        <v>57</v>
      </c>
      <c r="D5">
        <v>300000</v>
      </c>
      <c r="E5" s="1">
        <v>45309</v>
      </c>
      <c r="F5" s="1">
        <v>45413</v>
      </c>
      <c r="G5" s="6" t="str">
        <f>_xlfn.XLOOKUP(B5, leads!A:A, leads!F:F, "")</f>
        <v>Paid Ads</v>
      </c>
      <c r="H5" t="str">
        <f>_xlfn.XLOOKUP(B5, leads!A:A, leads!D:D, "")</f>
        <v>Enterprise</v>
      </c>
      <c r="I5" t="str">
        <f>_xlfn.XLOOKUP(B5, leads!A:A, leads!C:C, "")</f>
        <v>Airports &amp; Transport</v>
      </c>
    </row>
    <row r="6">
      <c r="A6" t="s">
        <v>62</v>
      </c>
      <c r="B6" t="s">
        <v>23</v>
      </c>
      <c r="C6" t="s">
        <v>60</v>
      </c>
      <c r="D6">
        <v>20000</v>
      </c>
      <c r="E6" s="1">
        <v>45311</v>
      </c>
      <c r="F6" s="1">
        <v>45327</v>
      </c>
      <c r="G6" s="6" t="str">
        <f>_xlfn.XLOOKUP(B6, leads!A:A, leads!F:F, "")</f>
        <v>Website</v>
      </c>
      <c r="H6" t="str">
        <f>_xlfn.XLOOKUP(B6, leads!A:A, leads!D:D, "")</f>
        <v>SMB</v>
      </c>
      <c r="I6" t="str">
        <f>_xlfn.XLOOKUP(B6, leads!A:A, leads!C:C, "")</f>
        <v>Commercial Real Estate</v>
      </c>
    </row>
    <row r="7">
      <c r="A7" t="s">
        <v>63</v>
      </c>
      <c r="B7" t="s">
        <v>26</v>
      </c>
      <c r="C7" t="s">
        <v>57</v>
      </c>
      <c r="D7">
        <v>180000</v>
      </c>
      <c r="E7" s="1">
        <v>45313</v>
      </c>
      <c r="F7" s="1">
        <v>45392</v>
      </c>
      <c r="G7" s="6" t="str">
        <f>_xlfn.XLOOKUP(B7, leads!A:A, leads!F:F, "")</f>
        <v>Event</v>
      </c>
      <c r="H7" t="str">
        <f>_xlfn.XLOOKUP(B7, leads!A:A, leads!D:D, "")</f>
        <v>Enterprise</v>
      </c>
      <c r="I7" t="str">
        <f>_xlfn.XLOOKUP(B7, leads!A:A, leads!C:C, "")</f>
        <v>Healthcare</v>
      </c>
    </row>
    <row r="8">
      <c r="A8" t="s">
        <v>64</v>
      </c>
      <c r="B8" t="s">
        <v>28</v>
      </c>
      <c r="C8" t="s">
        <v>60</v>
      </c>
      <c r="D8">
        <v>60000</v>
      </c>
      <c r="E8" s="1">
        <v>45316</v>
      </c>
      <c r="F8" s="1">
        <v>45350</v>
      </c>
      <c r="G8" s="6" t="str">
        <f>_xlfn.XLOOKUP(B8, leads!A:A, leads!F:F, "")</f>
        <v>Paid Ads</v>
      </c>
      <c r="H8" t="str">
        <f>_xlfn.XLOOKUP(B8, leads!A:A, leads!D:D, "")</f>
        <v>Mid-Market</v>
      </c>
      <c r="I8" t="str">
        <f>_xlfn.XLOOKUP(B8, leads!A:A, leads!C:C, "")</f>
        <v>Corporate Offices</v>
      </c>
    </row>
    <row r="9">
      <c r="A9" t="s">
        <v>65</v>
      </c>
      <c r="B9" t="s">
        <v>30</v>
      </c>
      <c r="C9" t="s">
        <v>60</v>
      </c>
      <c r="D9">
        <v>30000</v>
      </c>
      <c r="E9" s="1">
        <v>45319</v>
      </c>
      <c r="F9" s="1">
        <v>45337</v>
      </c>
      <c r="G9" s="6" t="str">
        <f>_xlfn.XLOOKUP(B9, leads!A:A, leads!F:F, "")</f>
        <v>Website</v>
      </c>
      <c r="H9" t="str">
        <f>_xlfn.XLOOKUP(B9, leads!A:A, leads!D:D, "")</f>
        <v>SMB</v>
      </c>
      <c r="I9" t="str">
        <f>_xlfn.XLOOKUP(B9, leads!A:A, leads!C:C, "")</f>
        <v>Education</v>
      </c>
    </row>
    <row r="10">
      <c r="A10" t="s">
        <v>66</v>
      </c>
      <c r="B10" t="s">
        <v>31</v>
      </c>
      <c r="C10" t="s">
        <v>57</v>
      </c>
      <c r="D10">
        <v>400000</v>
      </c>
      <c r="E10" s="1">
        <v>45323</v>
      </c>
      <c r="F10" s="1">
        <v>45444</v>
      </c>
      <c r="G10" s="6" t="str">
        <f>_xlfn.XLOOKUP(B10, leads!A:A, leads!F:F, "")</f>
        <v>Referral</v>
      </c>
      <c r="H10" t="str">
        <f>_xlfn.XLOOKUP(B10, leads!A:A, leads!D:D, "")</f>
        <v>Enterprise</v>
      </c>
      <c r="I10" t="str">
        <f>_xlfn.XLOOKUP(B10, leads!A:A, leads!C:C, "")</f>
        <v>Airports &amp; Transport</v>
      </c>
    </row>
    <row r="11">
      <c r="A11" t="s">
        <v>67</v>
      </c>
      <c r="B11" t="s">
        <v>32</v>
      </c>
      <c r="C11" t="s">
        <v>57</v>
      </c>
      <c r="D11">
        <v>220000</v>
      </c>
      <c r="E11" s="1">
        <v>45327</v>
      </c>
      <c r="F11" s="1">
        <v>45407</v>
      </c>
      <c r="G11" s="6" t="str">
        <f>_xlfn.XLOOKUP(B11, leads!A:A, leads!F:F, "")</f>
        <v>Event</v>
      </c>
      <c r="H11" t="str">
        <f>_xlfn.XLOOKUP(B11, leads!A:A, leads!D:D, "")</f>
        <v>Enterprise</v>
      </c>
      <c r="I11" t="str">
        <f>_xlfn.XLOOKUP(B11, leads!A:A, leads!C:C, "")</f>
        <v>Commercial Real Estate</v>
      </c>
    </row>
    <row r="12">
      <c r="A12" t="s">
        <v>68</v>
      </c>
      <c r="B12" t="s">
        <v>33</v>
      </c>
      <c r="C12" t="s">
        <v>60</v>
      </c>
      <c r="D12">
        <v>50000</v>
      </c>
      <c r="E12" s="1">
        <v>45329</v>
      </c>
      <c r="F12" s="1">
        <v>45352</v>
      </c>
      <c r="G12" s="6" t="str">
        <f>_xlfn.XLOOKUP(B12, leads!A:A, leads!F:F, "")</f>
        <v>Website</v>
      </c>
      <c r="H12" t="str">
        <f>_xlfn.XLOOKUP(B12, leads!A:A, leads!D:D, "")</f>
        <v>Mid-Market</v>
      </c>
      <c r="I12" t="str">
        <f>_xlfn.XLOOKUP(B12, leads!A:A, leads!C:C, "")</f>
        <v>Healthcare</v>
      </c>
    </row>
    <row r="13">
      <c r="A13" t="s">
        <v>69</v>
      </c>
      <c r="B13" t="s">
        <v>34</v>
      </c>
      <c r="C13" t="s">
        <v>57</v>
      </c>
      <c r="D13">
        <v>350000</v>
      </c>
      <c r="E13" s="1">
        <v>45332</v>
      </c>
      <c r="F13" s="1">
        <v>45442</v>
      </c>
      <c r="G13" s="6" t="str">
        <f>_xlfn.XLOOKUP(B13, leads!A:A, leads!F:F, "")</f>
        <v>Paid Ads</v>
      </c>
      <c r="H13" t="str">
        <f>_xlfn.XLOOKUP(B13, leads!A:A, leads!D:D, "")</f>
        <v>Enterprise</v>
      </c>
      <c r="I13" t="str">
        <f>_xlfn.XLOOKUP(B13, leads!A:A, leads!C:C, "")</f>
        <v>Corporate Offices</v>
      </c>
    </row>
    <row r="14">
      <c r="A14" t="s">
        <v>70</v>
      </c>
      <c r="B14" t="s">
        <v>35</v>
      </c>
      <c r="C14" t="s">
        <v>60</v>
      </c>
      <c r="D14">
        <v>40000</v>
      </c>
      <c r="E14" s="1">
        <v>45334</v>
      </c>
      <c r="F14" s="1">
        <v>45361</v>
      </c>
      <c r="G14" s="6" t="str">
        <f>_xlfn.XLOOKUP(B14, leads!A:A, leads!F:F, "")</f>
        <v>Website</v>
      </c>
      <c r="H14" t="str">
        <f>_xlfn.XLOOKUP(B14, leads!A:A, leads!D:D, "")</f>
        <v>Mid-Market</v>
      </c>
      <c r="I14" t="str">
        <f>_xlfn.XLOOKUP(B14, leads!A:A, leads!C:C, "")</f>
        <v>Education</v>
      </c>
    </row>
    <row r="15">
      <c r="A15" t="s">
        <v>71</v>
      </c>
      <c r="B15" t="s">
        <v>36</v>
      </c>
      <c r="C15" t="s">
        <v>57</v>
      </c>
      <c r="D15">
        <v>270000</v>
      </c>
      <c r="E15" s="1">
        <v>45337</v>
      </c>
      <c r="F15" s="1">
        <v>45427</v>
      </c>
      <c r="G15" s="6" t="str">
        <f>_xlfn.XLOOKUP(B15, leads!A:A, leads!F:F, "")</f>
        <v>Referral</v>
      </c>
      <c r="H15" t="str">
        <f>_xlfn.XLOOKUP(B15, leads!A:A, leads!D:D, "")</f>
        <v>Enterprise</v>
      </c>
      <c r="I15" t="str">
        <f>_xlfn.XLOOKUP(B15, leads!A:A, leads!C:C, "")</f>
        <v>Commercial Real Estate</v>
      </c>
    </row>
    <row r="16">
      <c r="A16" t="s">
        <v>72</v>
      </c>
      <c r="B16" t="s">
        <v>37</v>
      </c>
      <c r="C16" t="s">
        <v>57</v>
      </c>
      <c r="D16">
        <v>500000</v>
      </c>
      <c r="E16" s="1">
        <v>45340</v>
      </c>
      <c r="F16" s="1">
        <v>45463</v>
      </c>
      <c r="G16" s="6" t="str">
        <f>_xlfn.XLOOKUP(B16, leads!A:A, leads!F:F, "")</f>
        <v>Event</v>
      </c>
      <c r="H16" t="str">
        <f>_xlfn.XLOOKUP(B16, leads!A:A, leads!D:D, "")</f>
        <v>Enterprise</v>
      </c>
      <c r="I16" t="str">
        <f>_xlfn.XLOOKUP(B16, leads!A:A, leads!C:C, "")</f>
        <v>Airports &amp; Transport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4" sqref="H4"/>
    </sheetView>
  </sheetViews>
  <sheetFormatPr defaultRowHeight="14.25"/>
  <cols>
    <col min="1" max="1" width="16.25" bestFit="1" customWidth="1"/>
    <col min="2" max="2" width="17" bestFit="1" customWidth="1"/>
    <col min="7" max="7" width="36.625" bestFit="1" customWidth="1"/>
  </cols>
  <sheetData>
    <row r="1">
      <c r="A1" s="2" t="s">
        <v>52</v>
      </c>
      <c r="B1" t="s">
        <v>57</v>
      </c>
    </row>
    <row r="3">
      <c r="A3" s="2" t="s">
        <v>5</v>
      </c>
      <c r="B3" t="s">
        <v>73</v>
      </c>
      <c r="G3" s="3" t="s">
        <v>45</v>
      </c>
    </row>
    <row r="4" ht="42.75">
      <c r="A4" t="s">
        <v>14</v>
      </c>
      <c r="B4" s="5">
        <v>1150000</v>
      </c>
      <c r="G4" s="6" t="s">
        <v>74</v>
      </c>
    </row>
    <row r="5" ht="28.5">
      <c r="A5" t="s">
        <v>22</v>
      </c>
      <c r="B5" s="5">
        <v>650000</v>
      </c>
      <c r="G5" s="6" t="s">
        <v>75</v>
      </c>
    </row>
    <row r="6">
      <c r="A6" t="s">
        <v>18</v>
      </c>
      <c r="B6" s="5">
        <v>670000</v>
      </c>
    </row>
    <row r="7">
      <c r="A7" t="s">
        <v>10</v>
      </c>
      <c r="B7" s="5">
        <v>120000</v>
      </c>
    </row>
    <row r="8">
      <c r="A8" t="s">
        <v>46</v>
      </c>
      <c r="B8" s="5">
        <v>2590000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J3" sqref="J3"/>
    </sheetView>
  </sheetViews>
  <sheetFormatPr defaultRowHeight="14.25"/>
  <cols>
    <col min="1" max="1" width="17" bestFit="1" customWidth="1"/>
    <col min="2" max="2" width="16.625" bestFit="1" customWidth="1"/>
    <col min="3" max="3" width="11.125" bestFit="1" customWidth="1"/>
    <col min="4" max="4" width="6.25" bestFit="1" customWidth="1"/>
    <col min="5" max="5" width="24.125" bestFit="1" customWidth="1"/>
    <col min="9" max="9" width="36.625" bestFit="1" customWidth="1"/>
  </cols>
  <sheetData>
    <row r="1">
      <c r="A1" s="2" t="s">
        <v>52</v>
      </c>
      <c r="B1" t="s">
        <v>57</v>
      </c>
    </row>
    <row r="3">
      <c r="A3" s="2" t="s">
        <v>73</v>
      </c>
      <c r="B3" s="2" t="s">
        <v>3</v>
      </c>
      <c r="E3" t="s">
        <v>76</v>
      </c>
      <c r="I3" s="3" t="s">
        <v>45</v>
      </c>
    </row>
    <row r="4" ht="42.75">
      <c r="A4" s="2" t="s">
        <v>5</v>
      </c>
      <c r="B4" t="s">
        <v>8</v>
      </c>
      <c r="C4" t="s">
        <v>46</v>
      </c>
      <c r="I4" s="6" t="s">
        <v>77</v>
      </c>
    </row>
    <row r="5" ht="42.75">
      <c r="A5" t="s">
        <v>14</v>
      </c>
      <c r="B5" s="5">
        <v>1150000</v>
      </c>
      <c r="C5" s="5">
        <v>1150000</v>
      </c>
      <c r="E5" s="7">
        <f>B5/B9</f>
        <v>0.44401544401544402</v>
      </c>
      <c r="I5" s="8" t="s">
        <v>78</v>
      </c>
    </row>
    <row r="6" ht="42.75">
      <c r="A6" t="s">
        <v>22</v>
      </c>
      <c r="B6" s="5">
        <v>650000</v>
      </c>
      <c r="C6" s="5">
        <v>650000</v>
      </c>
      <c r="E6" s="7">
        <f>B6/B9</f>
        <v>0.25096525096525096</v>
      </c>
      <c r="I6" s="9" t="s">
        <v>79</v>
      </c>
    </row>
    <row r="7">
      <c r="A7" t="s">
        <v>18</v>
      </c>
      <c r="B7" s="5">
        <v>670000</v>
      </c>
      <c r="C7" s="5">
        <v>670000</v>
      </c>
      <c r="E7" s="7">
        <f>B7/B9</f>
        <v>0.25868725868725867</v>
      </c>
    </row>
    <row r="8">
      <c r="A8" t="s">
        <v>10</v>
      </c>
      <c r="B8" s="5">
        <v>120000</v>
      </c>
      <c r="C8" s="5">
        <v>120000</v>
      </c>
      <c r="E8" s="7">
        <f>B8/B9</f>
        <v>0.04633204633204633</v>
      </c>
      <c r="I8" s="6"/>
    </row>
    <row r="9">
      <c r="A9" t="s">
        <v>46</v>
      </c>
      <c r="B9" s="5">
        <v>2590000</v>
      </c>
      <c r="C9" s="5">
        <v>2590000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tabSelected="1" zoomScale="85" zoomScaleNormal="85" workbookViewId="0" topLeftCell="C1">
      <selection activeCell="N9" sqref="N9"/>
    </sheetView>
  </sheetViews>
  <sheetFormatPr defaultRowHeight="14.25"/>
  <cols>
    <col min="1" max="1" width="17" bestFit="1" customWidth="1"/>
    <col min="2" max="2" width="16.625" bestFit="1" customWidth="1"/>
    <col min="3" max="3" width="11.125" bestFit="1" customWidth="1"/>
    <col min="14" max="15" width="36.625" bestFit="1" customWidth="1"/>
    <col min="16" max="16" width="11.25" bestFit="1" customWidth="1"/>
  </cols>
  <sheetData>
    <row r="1">
      <c r="A1" s="2" t="s">
        <v>52</v>
      </c>
      <c r="B1" t="s">
        <v>57</v>
      </c>
    </row>
    <row r="2" ht="15">
      <c r="N2" s="10" t="s">
        <v>80</v>
      </c>
      <c r="O2" s="10" t="s">
        <v>81</v>
      </c>
    </row>
    <row r="3" ht="42.75">
      <c r="A3" s="2" t="s">
        <v>73</v>
      </c>
      <c r="B3" s="2" t="s">
        <v>3</v>
      </c>
      <c r="N3" s="6" t="s">
        <v>82</v>
      </c>
      <c r="O3" s="6" t="s">
        <v>83</v>
      </c>
    </row>
    <row r="4" ht="28.5">
      <c r="A4" s="2" t="s">
        <v>5</v>
      </c>
      <c r="B4" t="s">
        <v>8</v>
      </c>
      <c r="C4" t="s">
        <v>46</v>
      </c>
      <c r="N4" s="6" t="s">
        <v>84</v>
      </c>
      <c r="O4" s="6" t="s">
        <v>85</v>
      </c>
    </row>
    <row r="5" ht="28.5">
      <c r="A5" t="s">
        <v>14</v>
      </c>
      <c r="B5" s="5">
        <v>1150000</v>
      </c>
      <c r="C5" s="5">
        <v>1150000</v>
      </c>
      <c r="N5" s="6" t="s">
        <v>86</v>
      </c>
      <c r="O5" s="6" t="s">
        <v>87</v>
      </c>
    </row>
    <row r="6" ht="28.5">
      <c r="A6" t="s">
        <v>22</v>
      </c>
      <c r="B6" s="5">
        <v>650000</v>
      </c>
      <c r="C6" s="5">
        <v>650000</v>
      </c>
      <c r="N6" s="6" t="s">
        <v>88</v>
      </c>
      <c r="O6" s="6" t="s">
        <v>89</v>
      </c>
    </row>
    <row r="7">
      <c r="A7" t="s">
        <v>18</v>
      </c>
      <c r="B7" s="5">
        <v>670000</v>
      </c>
      <c r="C7" s="5">
        <v>670000</v>
      </c>
    </row>
    <row r="8">
      <c r="A8" t="s">
        <v>10</v>
      </c>
      <c r="B8" s="5">
        <v>120000</v>
      </c>
      <c r="C8" s="5">
        <v>120000</v>
      </c>
    </row>
    <row r="9">
      <c r="A9" t="s">
        <v>46</v>
      </c>
      <c r="B9" s="5">
        <v>2590000</v>
      </c>
      <c r="C9" s="5">
        <v>2590000</v>
      </c>
    </row>
  </sheetData>
  <drawing r:id="rId2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suwaiba jawaid</cp:lastModifiedBy>
  <dcterms:created xsi:type="dcterms:W3CDTF">2025-12-22T02:37:23Z</dcterms:created>
  <dcterms:modified xsi:type="dcterms:W3CDTF">2026-01-06T12:53:10Z</dcterms:modified>
</cp:coreProperties>
</file>